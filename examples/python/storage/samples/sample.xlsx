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웹오피스_2024\인스톨러 샘플 문서\"/>
    </mc:Choice>
  </mc:AlternateContent>
  <xr:revisionPtr revIDLastSave="0" documentId="13_ncr:1_{AE9E8684-08CA-4F64-835F-32D380FEB22C}" xr6:coauthVersionLast="47" xr6:coauthVersionMax="47" xr10:uidLastSave="{00000000-0000-0000-0000-000000000000}"/>
  <bookViews>
    <workbookView xWindow="-120" yWindow="-120" windowWidth="29040" windowHeight="15720" xr2:uid="{C6CB8517-3D5C-4EDD-B680-ACAFE39131B1}"/>
  </bookViews>
  <sheets>
    <sheet name="Template" sheetId="6" r:id="rId1"/>
    <sheet name="Protocol" sheetId="2" r:id="rId2"/>
    <sheet name="Chart" sheetId="5" r:id="rId3"/>
  </sheets>
  <externalReferences>
    <externalReference r:id="rId4"/>
  </externalReferences>
  <definedNames>
    <definedName name="IntroPrintArea" hidden="1">#REF!</definedName>
    <definedName name="_xlnm.Print_Area" localSheetId="0">'[1]Business Strength Analysis'!$B$3:$N$45</definedName>
    <definedName name="SET_RANG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05" i="6" l="1"/>
  <c r="Q204" i="6"/>
  <c r="Q203" i="6"/>
  <c r="Q202" i="6"/>
  <c r="P18" i="6"/>
  <c r="L18" i="6"/>
  <c r="H18" i="6"/>
  <c r="D18" i="6"/>
  <c r="R17" i="6"/>
  <c r="N17" i="6"/>
  <c r="J17" i="6"/>
  <c r="F17" i="6"/>
  <c r="R16" i="6"/>
  <c r="N16" i="6"/>
  <c r="J16" i="6"/>
  <c r="F16" i="6"/>
  <c r="R15" i="6"/>
  <c r="N15" i="6"/>
  <c r="J15" i="6"/>
  <c r="F15" i="6"/>
  <c r="R14" i="6"/>
  <c r="N14" i="6"/>
  <c r="J14" i="6"/>
  <c r="F14" i="6"/>
  <c r="R13" i="6"/>
  <c r="N13" i="6"/>
  <c r="J13" i="6"/>
  <c r="F13" i="6"/>
  <c r="R12" i="6"/>
  <c r="N12" i="6"/>
  <c r="J12" i="6"/>
  <c r="F12" i="6"/>
  <c r="R11" i="6"/>
  <c r="N11" i="6"/>
  <c r="J11" i="6"/>
  <c r="F11" i="6"/>
  <c r="R10" i="6"/>
  <c r="N10" i="6"/>
  <c r="J10" i="6"/>
  <c r="F10" i="6"/>
  <c r="R9" i="6"/>
  <c r="N9" i="6"/>
  <c r="J9" i="6"/>
  <c r="F9" i="6"/>
  <c r="R8" i="6"/>
  <c r="R18" i="6" s="1"/>
  <c r="R205" i="6" s="1"/>
  <c r="N8" i="6"/>
  <c r="N18" i="6" s="1"/>
  <c r="R204" i="6" s="1"/>
  <c r="J8" i="6"/>
  <c r="F8" i="6"/>
  <c r="F18" i="6" s="1"/>
  <c r="R202" i="6" s="1"/>
  <c r="B20" i="5"/>
  <c r="J18" i="6" l="1"/>
  <c r="R203" i="6" s="1"/>
</calcChain>
</file>

<file path=xl/sharedStrings.xml><?xml version="1.0" encoding="utf-8"?>
<sst xmlns="http://schemas.openxmlformats.org/spreadsheetml/2006/main" count="84" uniqueCount="69">
  <si>
    <t>Forward Adapter Development Guide v2.3</t>
  </si>
  <si>
    <t xml:space="preserve">The FW Adapter facilitates communication between Thinkfree Office and the external file storage service via a Restful API. 
By registering the FW Adapter on the admin page, the specified protocol allows for the provision of an external file server and API without requiring a separate adapter to be implemented. </t>
    <phoneticPr fontId="2" type="noConversion"/>
  </si>
  <si>
    <t>Introduction</t>
    <phoneticPr fontId="2" type="noConversion"/>
  </si>
  <si>
    <t>URL default format</t>
    <phoneticPr fontId="2" type="noConversion"/>
  </si>
  <si>
    <t>domain/api/adapter/document_path/open?app=app_type&amp;docId=value&amp;user_id=VALUE&amp;lang=ll_CC&amp;customParams=value</t>
    <phoneticPr fontId="2" type="noConversion"/>
  </si>
  <si>
    <t>URL</t>
  </si>
  <si>
    <t>Description</t>
  </si>
  <si>
    <t>Thinkfree Office domain address</t>
  </si>
  <si>
    <t xml:space="preserve">Adapter name </t>
  </si>
  <si>
    <t>Path to file, including extension</t>
  </si>
  <si>
    <t>Office application type</t>
  </si>
  <si>
    <t>*adapter</t>
  </si>
  <si>
    <t>*document_path</t>
  </si>
  <si>
    <t>*app_type</t>
  </si>
  <si>
    <t>*docId=value</t>
  </si>
  <si>
    <t>user_id=VALUE</t>
  </si>
  <si>
    <t>lang=ll_CC</t>
  </si>
  <si>
    <t>customParams=value</t>
  </si>
  <si>
    <t>Document identifiers in the service are alphanumeric only, limited to 128 characters (recommended maximum of 50), and must be unique. Special characters and spaces are not supported.</t>
    <phoneticPr fontId="2" type="noConversion"/>
  </si>
  <si>
    <t>Example</t>
    <phoneticPr fontId="2" type="noConversion"/>
  </si>
  <si>
    <t>*Required</t>
    <phoneticPr fontId="2" type="noConversion"/>
  </si>
  <si>
    <t>blank.docx</t>
    <phoneticPr fontId="2" type="noConversion"/>
  </si>
  <si>
    <t>Word editor) WRITE_EDITOR 
Word viewer) WRITE_VIEWER
Cell editor) CALC_EDITOR
Cell viewer) CALC_VIEWER
Show editor) SHOW_EDITOR
Show viewer) SHOW_VIEWER</t>
    <phoneticPr fontId="2" type="noConversion"/>
  </si>
  <si>
    <t>docId=20230001</t>
    <phoneticPr fontId="2" type="noConversion"/>
  </si>
  <si>
    <t>To differentiate users, 
it's recommended to use their email address or username as a unique identifier.</t>
    <phoneticPr fontId="2" type="noConversion"/>
  </si>
  <si>
    <t>user_id=tester</t>
    <phoneticPr fontId="2" type="noConversion"/>
  </si>
  <si>
    <t>The language setting value displayed in Thinkfree Office. 
If value is omitted, the language setting on the admin page will be applied.</t>
    <phoneticPr fontId="2" type="noConversion"/>
  </si>
  <si>
    <t>lang=en_US</t>
    <phoneticPr fontId="2" type="noConversion"/>
  </si>
  <si>
    <t>If necessary, you can register custom parameters using the [Administrator Page]-[External Interworking Interface]-[Add Adapter]-[Adapter Settings]-[Parameters]'Parameters' values.
Registered information is transmitted and included in Interface API communication.</t>
    <phoneticPr fontId="2" type="noConversion"/>
  </si>
  <si>
    <t>group_id:group_type:group_name</t>
    <phoneticPr fontId="2" type="noConversion"/>
  </si>
  <si>
    <t>Title</t>
  </si>
  <si>
    <t>Total Cost</t>
  </si>
  <si>
    <t>Support towards the Europe PMC initiative-Contribution for 2014-2016</t>
  </si>
  <si>
    <t>Support to the Vice-Presidents of the ERC Scientific Council 2014</t>
  </si>
  <si>
    <t>Monitoring Atmospheric Composition and Climate -III</t>
  </si>
  <si>
    <t>Pre-Operational Marine Service Continuity in Transition towards Copernicus</t>
  </si>
  <si>
    <t>Underwater Time Of Flight Image Acquisition system</t>
  </si>
  <si>
    <t>European Union Contest for Young Scientists 2014</t>
  </si>
  <si>
    <t>Understanding Planet Mars With Advanced Remote-sensing Datasets and Synergistic Studies</t>
  </si>
  <si>
    <t>Geometric problems in PDEs with applications to fluid mechanics</t>
  </si>
  <si>
    <t>Light Night</t>
  </si>
  <si>
    <t>European Researachers' Night in Madrid 2014-2015</t>
  </si>
  <si>
    <t>Meet and learn What Excellent science does FOR YOU and the society</t>
  </si>
  <si>
    <t>EuroMix</t>
  </si>
  <si>
    <t>Researchers in the Knowledge Triangle</t>
  </si>
  <si>
    <t>Strengthening Animal Production and Health through the Immune Response</t>
  </si>
  <si>
    <t>Toolless Manufacturing of Complex Structures</t>
  </si>
  <si>
    <t>LUnga notte della ricerca - Lange NAcht der Forschung 2014</t>
  </si>
  <si>
    <t>Optimizing and Enhancing the Integrated Atlantic Ocean Observing System</t>
  </si>
  <si>
    <t>Cost</t>
    <phoneticPr fontId="2" type="noConversion"/>
  </si>
  <si>
    <t>Implementation of activities described in the Roadmap to Fusion during Horizon 2020</t>
    <phoneticPr fontId="2" type="noConversion"/>
  </si>
  <si>
    <t>Business Strength Analysis</t>
  </si>
  <si>
    <t>Product C</t>
  </si>
  <si>
    <t>Product D</t>
  </si>
  <si>
    <t>1 Poor, 5 Excellent</t>
  </si>
  <si>
    <t>Rating</t>
  </si>
  <si>
    <t>Characteristics</t>
  </si>
  <si>
    <t>Weight</t>
  </si>
  <si>
    <t>(1-5)</t>
  </si>
  <si>
    <t>Value</t>
  </si>
  <si>
    <t>A</t>
  </si>
  <si>
    <t>B</t>
  </si>
  <si>
    <t>C</t>
  </si>
  <si>
    <t>D</t>
  </si>
  <si>
    <t>E</t>
  </si>
  <si>
    <t>Total  (Weight must total 100%)</t>
  </si>
  <si>
    <t>Product A</t>
    <phoneticPr fontId="2" type="noConversion"/>
  </si>
  <si>
    <t>Thinkfree Office</t>
    <phoneticPr fontId="2" type="noConversion"/>
  </si>
  <si>
    <t>*domain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</si>
</sst>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i/>
      <sz val="11"/>
      <color theme="1"/>
      <name val="Arial"/>
      <family val="2"/>
    </font>
    <font>
      <i/>
      <sz val="11"/>
      <color rgb="FF0070C0"/>
      <name val="Arial"/>
      <family val="2"/>
    </font>
    <font>
      <sz val="11"/>
      <color rgb="FF000000"/>
      <name val="맑은 고딕"/>
      <family val="3"/>
      <charset val="129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</font>
    <font>
      <b/>
      <sz val="20"/>
      <color rgb="FF699B37"/>
      <name val="Arial"/>
    </font>
    <font>
      <b/>
      <sz val="10"/>
      <color rgb="FFFFFFFF"/>
      <name val="Arial"/>
    </font>
    <font>
      <sz val="9"/>
      <color rgb="FF808080"/>
      <name val="Arial"/>
    </font>
    <font>
      <b/>
      <sz val="10"/>
      <color rgb="FF000000"/>
      <name val="Arial"/>
    </font>
    <font>
      <sz val="10"/>
      <color rgb="FF202F11"/>
      <name val="Arial"/>
    </font>
    <font>
      <sz val="10"/>
      <color rgb="FF5F8C31"/>
      <name val="Arial"/>
    </font>
    <font>
      <b/>
      <sz val="10"/>
      <color rgb="FF5F8C31"/>
      <name val="Arial"/>
    </font>
    <font>
      <b/>
      <sz val="10"/>
      <color rgb="FFFFFFFF"/>
      <name val="Arial"/>
      <family val="2"/>
    </font>
    <font>
      <b/>
      <sz val="11"/>
      <color rgb="FFFF007A"/>
      <name val="Arial"/>
      <family val="2"/>
    </font>
    <font>
      <sz val="11"/>
      <color rgb="FFFF007A"/>
      <name val="Arial"/>
      <family val="2"/>
    </font>
    <font>
      <b/>
      <sz val="2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699B37"/>
        <bgColor indexed="64"/>
      </patternFill>
    </fill>
    <fill>
      <patternFill patternType="solid">
        <fgColor rgb="FFF1F8E8"/>
        <bgColor indexed="64"/>
      </patternFill>
    </fill>
    <fill>
      <patternFill patternType="solid">
        <fgColor theme="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699B37"/>
      </bottom>
      <diagonal/>
    </border>
    <border>
      <left/>
      <right style="thin">
        <color rgb="FF699B37"/>
      </right>
      <top/>
      <bottom/>
      <diagonal/>
    </border>
    <border>
      <left style="thin">
        <color rgb="FF699B37"/>
      </left>
      <right style="thin">
        <color rgb="FF699B37"/>
      </right>
      <top/>
      <bottom/>
      <diagonal/>
    </border>
    <border>
      <left style="thin">
        <color rgb="FF699B37"/>
      </left>
      <right/>
      <top/>
      <bottom/>
      <diagonal/>
    </border>
    <border>
      <left/>
      <right/>
      <top/>
      <bottom style="thin">
        <color rgb="FFC3E0A6"/>
      </bottom>
      <diagonal/>
    </border>
    <border>
      <left/>
      <right style="thin">
        <color rgb="FFC3E0A6"/>
      </right>
      <top/>
      <bottom style="thin">
        <color rgb="FFC3E0A6"/>
      </bottom>
      <diagonal/>
    </border>
    <border>
      <left style="thin">
        <color rgb="FFC3E0A6"/>
      </left>
      <right style="thin">
        <color rgb="FFC3E0A6"/>
      </right>
      <top/>
      <bottom style="thin">
        <color rgb="FFC3E0A6"/>
      </bottom>
      <diagonal/>
    </border>
    <border>
      <left style="thin">
        <color rgb="FFC3E0A6"/>
      </left>
      <right/>
      <top/>
      <bottom style="thin">
        <color rgb="FFC3E0A6"/>
      </bottom>
      <diagonal/>
    </border>
    <border>
      <left/>
      <right/>
      <top style="thin">
        <color rgb="FFC3E0A6"/>
      </top>
      <bottom style="thin">
        <color rgb="FFC3E0A6"/>
      </bottom>
      <diagonal/>
    </border>
    <border>
      <left/>
      <right style="thin">
        <color rgb="FFC3E0A6"/>
      </right>
      <top style="thin">
        <color rgb="FFC3E0A6"/>
      </top>
      <bottom style="thin">
        <color rgb="FFC3E0A6"/>
      </bottom>
      <diagonal/>
    </border>
    <border>
      <left style="thin">
        <color rgb="FFC3E0A6"/>
      </left>
      <right style="thin">
        <color rgb="FFC3E0A6"/>
      </right>
      <top style="thin">
        <color rgb="FFC3E0A6"/>
      </top>
      <bottom style="thin">
        <color rgb="FFC3E0A6"/>
      </bottom>
      <diagonal/>
    </border>
    <border>
      <left style="thin">
        <color rgb="FFC3E0A6"/>
      </left>
      <right/>
      <top style="thin">
        <color rgb="FFC3E0A6"/>
      </top>
      <bottom style="thin">
        <color rgb="FFC3E0A6"/>
      </bottom>
      <diagonal/>
    </border>
    <border>
      <left/>
      <right/>
      <top style="thin">
        <color rgb="FFC3E0A6"/>
      </top>
      <bottom/>
      <diagonal/>
    </border>
    <border>
      <left/>
      <right style="thin">
        <color rgb="FFC3E0A6"/>
      </right>
      <top style="thin">
        <color rgb="FFC3E0A6"/>
      </top>
      <bottom/>
      <diagonal/>
    </border>
    <border>
      <left style="thin">
        <color rgb="FFC3E0A6"/>
      </left>
      <right style="thin">
        <color rgb="FFC3E0A6"/>
      </right>
      <top style="thin">
        <color rgb="FFC3E0A6"/>
      </top>
      <bottom/>
      <diagonal/>
    </border>
    <border>
      <left style="thin">
        <color rgb="FFC3E0A6"/>
      </left>
      <right/>
      <top style="thin">
        <color rgb="FFC3E0A6"/>
      </top>
      <bottom/>
      <diagonal/>
    </border>
    <border>
      <left/>
      <right/>
      <top style="thin">
        <color rgb="FF699B37"/>
      </top>
      <bottom style="thin">
        <color rgb="FF699B37"/>
      </bottom>
      <diagonal/>
    </border>
    <border>
      <left/>
      <right style="thin">
        <color rgb="FFC3E0A6"/>
      </right>
      <top style="thin">
        <color rgb="FF699B37"/>
      </top>
      <bottom style="thin">
        <color rgb="FF699B37"/>
      </bottom>
      <diagonal/>
    </border>
    <border>
      <left style="thin">
        <color rgb="FFC3E0A6"/>
      </left>
      <right style="thin">
        <color rgb="FFC3E0A6"/>
      </right>
      <top style="thin">
        <color rgb="FF699B37"/>
      </top>
      <bottom style="thin">
        <color rgb="FF699B37"/>
      </bottom>
      <diagonal/>
    </border>
    <border>
      <left style="thin">
        <color rgb="FFC3E0A6"/>
      </left>
      <right/>
      <top style="thin">
        <color rgb="FF699B37"/>
      </top>
      <bottom style="thin">
        <color rgb="FF699B37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1">
    <xf numFmtId="0" fontId="0" fillId="0" borderId="0">
      <alignment vertical="center"/>
    </xf>
    <xf numFmtId="0" fontId="7" fillId="0" borderId="0">
      <alignment vertical="center"/>
    </xf>
    <xf numFmtId="0" fontId="7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1" xfId="0" applyFont="1" applyBorder="1">
      <alignment vertical="center"/>
    </xf>
    <xf numFmtId="49" fontId="1" fillId="0" borderId="1" xfId="0" applyNumberFormat="1" applyFont="1" applyBorder="1">
      <alignment vertical="center"/>
    </xf>
    <xf numFmtId="4" fontId="1" fillId="0" borderId="1" xfId="0" applyNumberFormat="1" applyFont="1" applyBorder="1">
      <alignment vertical="center"/>
    </xf>
    <xf numFmtId="4" fontId="3" fillId="0" borderId="1" xfId="0" applyNumberFormat="1" applyFont="1" applyBorder="1">
      <alignment vertical="center"/>
    </xf>
    <xf numFmtId="49" fontId="3" fillId="2" borderId="1" xfId="0" applyNumberFormat="1" applyFont="1" applyFill="1" applyBorder="1" applyAlignment="1">
      <alignment horizontal="center" vertical="center"/>
    </xf>
    <xf numFmtId="0" fontId="11" fillId="0" borderId="0" xfId="50">
      <alignment vertical="center"/>
    </xf>
    <xf numFmtId="0" fontId="11" fillId="0" borderId="3" xfId="50" applyBorder="1">
      <alignment vertical="center"/>
    </xf>
    <xf numFmtId="0" fontId="11" fillId="0" borderId="4" xfId="50" applyBorder="1">
      <alignment vertical="center"/>
    </xf>
    <xf numFmtId="0" fontId="15" fillId="0" borderId="2" xfId="50" applyFont="1" applyBorder="1" applyAlignment="1">
      <alignment horizontal="center" vertical="center"/>
    </xf>
    <xf numFmtId="0" fontId="11" fillId="0" borderId="0" xfId="50" quotePrefix="1">
      <alignment vertical="center"/>
    </xf>
    <xf numFmtId="0" fontId="15" fillId="0" borderId="2" xfId="50" applyFont="1" applyBorder="1" applyAlignment="1">
      <alignment horizontal="right" vertical="center"/>
    </xf>
    <xf numFmtId="0" fontId="16" fillId="0" borderId="6" xfId="50" applyFont="1" applyBorder="1" applyProtection="1">
      <alignment vertical="center"/>
      <protection locked="0"/>
    </xf>
    <xf numFmtId="0" fontId="16" fillId="0" borderId="0" xfId="50" applyFont="1">
      <alignment vertical="center"/>
    </xf>
    <xf numFmtId="9" fontId="17" fillId="0" borderId="7" xfId="50" applyNumberFormat="1" applyFont="1" applyBorder="1" applyAlignment="1" applyProtection="1">
      <alignment horizontal="right" vertical="center"/>
      <protection locked="0"/>
    </xf>
    <xf numFmtId="0" fontId="17" fillId="0" borderId="8" xfId="50" applyFont="1" applyBorder="1" applyAlignment="1" applyProtection="1">
      <alignment horizontal="center" vertical="center"/>
      <protection locked="0"/>
    </xf>
    <xf numFmtId="2" fontId="17" fillId="0" borderId="9" xfId="50" applyNumberFormat="1" applyFont="1" applyBorder="1">
      <alignment vertical="center"/>
    </xf>
    <xf numFmtId="0" fontId="16" fillId="0" borderId="10" xfId="50" applyFont="1" applyBorder="1" applyProtection="1">
      <alignment vertical="center"/>
      <protection locked="0"/>
    </xf>
    <xf numFmtId="9" fontId="17" fillId="0" borderId="11" xfId="50" applyNumberFormat="1" applyFont="1" applyBorder="1" applyAlignment="1" applyProtection="1">
      <alignment horizontal="right" vertical="center"/>
      <protection locked="0"/>
    </xf>
    <xf numFmtId="0" fontId="17" fillId="0" borderId="12" xfId="50" applyFont="1" applyBorder="1" applyAlignment="1" applyProtection="1">
      <alignment horizontal="center" vertical="center"/>
      <protection locked="0"/>
    </xf>
    <xf numFmtId="2" fontId="17" fillId="0" borderId="13" xfId="50" applyNumberFormat="1" applyFont="1" applyBorder="1">
      <alignment vertical="center"/>
    </xf>
    <xf numFmtId="0" fontId="16" fillId="0" borderId="14" xfId="50" applyFont="1" applyBorder="1" applyProtection="1">
      <alignment vertical="center"/>
      <protection locked="0"/>
    </xf>
    <xf numFmtId="9" fontId="17" fillId="0" borderId="15" xfId="50" applyNumberFormat="1" applyFont="1" applyBorder="1" applyAlignment="1" applyProtection="1">
      <alignment horizontal="right" vertical="center"/>
      <protection locked="0"/>
    </xf>
    <xf numFmtId="0" fontId="17" fillId="0" borderId="16" xfId="50" applyFont="1" applyBorder="1" applyAlignment="1" applyProtection="1">
      <alignment horizontal="center" vertical="center"/>
      <protection locked="0"/>
    </xf>
    <xf numFmtId="2" fontId="17" fillId="0" borderId="17" xfId="50" applyNumberFormat="1" applyFont="1" applyBorder="1">
      <alignment vertical="center"/>
    </xf>
    <xf numFmtId="0" fontId="13" fillId="3" borderId="18" xfId="50" applyFont="1" applyFill="1" applyBorder="1" applyAlignment="1">
      <alignment horizontal="center" vertical="center"/>
    </xf>
    <xf numFmtId="9" fontId="18" fillId="4" borderId="19" xfId="50" applyNumberFormat="1" applyFont="1" applyFill="1" applyBorder="1">
      <alignment vertical="center"/>
    </xf>
    <xf numFmtId="0" fontId="18" fillId="4" borderId="20" xfId="50" applyFont="1" applyFill="1" applyBorder="1" applyAlignment="1">
      <alignment horizontal="center" vertical="center"/>
    </xf>
    <xf numFmtId="2" fontId="18" fillId="4" borderId="21" xfId="50" applyNumberFormat="1" applyFont="1" applyFill="1" applyBorder="1">
      <alignment vertical="center"/>
    </xf>
    <xf numFmtId="0" fontId="11" fillId="1" borderId="0" xfId="50" applyFill="1">
      <alignment vertical="center"/>
    </xf>
    <xf numFmtId="2" fontId="11" fillId="1" borderId="0" xfId="50" applyNumberFormat="1" applyFill="1">
      <alignment vertical="center"/>
    </xf>
    <xf numFmtId="0" fontId="15" fillId="0" borderId="2" xfId="50" applyFont="1" applyBorder="1" applyAlignment="1">
      <alignment horizontal="center" vertical="center"/>
    </xf>
    <xf numFmtId="0" fontId="15" fillId="0" borderId="2" xfId="50" quotePrefix="1" applyFont="1" applyBorder="1" applyAlignment="1">
      <alignment horizontal="center" vertical="center"/>
    </xf>
    <xf numFmtId="0" fontId="12" fillId="0" borderId="2" xfId="50" applyFont="1" applyBorder="1" applyAlignment="1">
      <alignment horizontal="center" vertical="center"/>
    </xf>
    <xf numFmtId="0" fontId="11" fillId="0" borderId="2" xfId="50" applyBorder="1" applyAlignment="1">
      <alignment horizontal="center" vertical="center"/>
    </xf>
    <xf numFmtId="0" fontId="19" fillId="3" borderId="3" xfId="50" applyFont="1" applyFill="1" applyBorder="1" applyAlignment="1" applyProtection="1">
      <alignment horizontal="center" vertical="center"/>
      <protection locked="0"/>
    </xf>
    <xf numFmtId="0" fontId="13" fillId="3" borderId="4" xfId="50" applyFont="1" applyFill="1" applyBorder="1" applyAlignment="1" applyProtection="1">
      <alignment horizontal="center" vertical="center"/>
      <protection locked="0"/>
    </xf>
    <xf numFmtId="0" fontId="13" fillId="3" borderId="5" xfId="50" applyFont="1" applyFill="1" applyBorder="1" applyAlignment="1" applyProtection="1">
      <alignment horizontal="center" vertical="center"/>
      <protection locked="0"/>
    </xf>
    <xf numFmtId="0" fontId="14" fillId="0" borderId="0" xfId="50" applyFont="1" applyAlignment="1">
      <alignment horizontal="center" vertical="center"/>
    </xf>
    <xf numFmtId="0" fontId="1" fillId="0" borderId="0" xfId="0" applyFont="1" applyFill="1">
      <alignment vertical="center"/>
    </xf>
    <xf numFmtId="0" fontId="22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vertical="center" wrapText="1"/>
    </xf>
    <xf numFmtId="0" fontId="21" fillId="0" borderId="25" xfId="0" applyFont="1" applyFill="1" applyBorder="1">
      <alignment vertical="center"/>
    </xf>
    <xf numFmtId="0" fontId="5" fillId="0" borderId="26" xfId="0" applyFont="1" applyFill="1" applyBorder="1">
      <alignment vertical="center"/>
    </xf>
    <xf numFmtId="0" fontId="5" fillId="0" borderId="26" xfId="0" applyFont="1" applyFill="1" applyBorder="1" applyAlignment="1">
      <alignment vertical="center" wrapText="1"/>
    </xf>
    <xf numFmtId="0" fontId="1" fillId="0" borderId="25" xfId="0" applyFont="1" applyFill="1" applyBorder="1">
      <alignment vertical="center"/>
    </xf>
    <xf numFmtId="0" fontId="1" fillId="0" borderId="27" xfId="0" applyFont="1" applyFill="1" applyBorder="1">
      <alignment vertical="center"/>
    </xf>
    <xf numFmtId="0" fontId="1" fillId="0" borderId="28" xfId="0" applyFont="1" applyFill="1" applyBorder="1" applyAlignment="1">
      <alignment vertical="center" wrapText="1"/>
    </xf>
    <xf numFmtId="0" fontId="5" fillId="0" borderId="29" xfId="0" applyFont="1" applyFill="1" applyBorder="1">
      <alignment vertical="center"/>
    </xf>
    <xf numFmtId="0" fontId="3" fillId="0" borderId="22" xfId="0" applyFont="1" applyFill="1" applyBorder="1">
      <alignment vertical="center"/>
    </xf>
    <xf numFmtId="0" fontId="1" fillId="0" borderId="30" xfId="0" applyFont="1" applyFill="1" applyBorder="1" applyAlignment="1">
      <alignment horizontal="left" vertical="center" wrapText="1"/>
    </xf>
    <xf numFmtId="0" fontId="1" fillId="0" borderId="31" xfId="0" applyFont="1" applyFill="1" applyBorder="1" applyAlignment="1">
      <alignment horizontal="left" vertical="center" wrapText="1"/>
    </xf>
    <xf numFmtId="0" fontId="1" fillId="0" borderId="32" xfId="0" applyFont="1" applyFill="1" applyBorder="1" applyAlignment="1">
      <alignment horizontal="left" vertical="center" wrapText="1"/>
    </xf>
    <xf numFmtId="0" fontId="3" fillId="0" borderId="33" xfId="0" applyFont="1" applyFill="1" applyBorder="1">
      <alignment vertical="center"/>
    </xf>
    <xf numFmtId="0" fontId="1" fillId="0" borderId="34" xfId="0" applyFont="1" applyFill="1" applyBorder="1" applyAlignment="1">
      <alignment horizontal="left" vertical="center"/>
    </xf>
    <xf numFmtId="0" fontId="1" fillId="0" borderId="35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</cellXfs>
  <cellStyles count="51">
    <cellStyle name="Normal 10" xfId="16" xr:uid="{8412BA2B-34EE-4724-A66E-64FC32FC4ACE}"/>
    <cellStyle name="Normal 15" xfId="12" xr:uid="{95D7128D-6F2B-4608-8541-D72801D26C83}"/>
    <cellStyle name="Normal 2" xfId="2" xr:uid="{729D6A7E-2BFB-4FC8-8B4C-F07FCF1F653E}"/>
    <cellStyle name="Normal 2 10 2 2 2" xfId="10" xr:uid="{679D1DB9-8209-4224-9615-11878A52685D}"/>
    <cellStyle name="Normal 2 10 2 2 2 2" xfId="15" xr:uid="{1C1F2F0C-BC7C-4249-89A8-9DCFBE2CC583}"/>
    <cellStyle name="Normal 2 10 2 2 2 2 2 3" xfId="17" xr:uid="{377650E8-98F0-48D0-8C52-3FFE1C726AB9}"/>
    <cellStyle name="Normal 2 4" xfId="20" xr:uid="{0430C519-6FA9-45BC-BB46-A31EF15FCEAD}"/>
    <cellStyle name="Normal 2 4 3" xfId="25" xr:uid="{4047496F-6276-45F4-B201-92146621DE30}"/>
    <cellStyle name="Normal 2 4 4 3" xfId="23" xr:uid="{0AFE1F62-D3E0-432F-9BE2-6574E321C548}"/>
    <cellStyle name="Normal 23" xfId="47" xr:uid="{5BDD478F-097A-445D-9373-7F02DB8EDEBB}"/>
    <cellStyle name="Normal 24" xfId="24" xr:uid="{4B8EF799-690C-4BDE-9871-013720C6AC5F}"/>
    <cellStyle name="Normal 25" xfId="48" xr:uid="{2EB360CC-E412-4472-86F7-B7D1F472962D}"/>
    <cellStyle name="Normal 26" xfId="28" xr:uid="{22959BC5-3AB9-4170-AC91-F7ED1ECD9F9B}"/>
    <cellStyle name="Normal 28" xfId="36" xr:uid="{F9CECB3D-EE9F-49C1-9C4A-AD44C571C9DA}"/>
    <cellStyle name="Normal 29" xfId="19" xr:uid="{1E0A57BE-ED81-4721-8141-2D0AFA0B16BE}"/>
    <cellStyle name="Normal 3" xfId="8" xr:uid="{D63636D5-03BF-4415-AE7F-69B4B167776D}"/>
    <cellStyle name="Normal 30" xfId="29" xr:uid="{B3B2F716-A89A-4189-8B27-1187D0879BA4}"/>
    <cellStyle name="Normal 31" xfId="18" xr:uid="{8D24298F-F5D3-4283-85B6-BCD152C3D82A}"/>
    <cellStyle name="Normal 36" xfId="32" xr:uid="{151FC4BE-2E0E-46B5-A525-5211F1A3A4A6}"/>
    <cellStyle name="Normal 37" xfId="39" xr:uid="{B3B3A23C-C934-4E8C-9FB8-91E331DB5D6C}"/>
    <cellStyle name="Normal 38" xfId="30" xr:uid="{21BE9F05-4F50-4F4E-8256-03E87FA1A0DC}"/>
    <cellStyle name="Normal 39" xfId="27" xr:uid="{A75153CD-FF25-4BF3-89BF-C702BF6A8C5A}"/>
    <cellStyle name="Normal 40" xfId="41" xr:uid="{57796EF5-3CDF-455D-9234-07D3104F9510}"/>
    <cellStyle name="Normal 41" xfId="43" xr:uid="{072D5BCE-35B0-472B-B5D3-36877A11C26E}"/>
    <cellStyle name="Normal 42" xfId="46" xr:uid="{88CEC237-01BF-4814-9B88-58585B7247B0}"/>
    <cellStyle name="Normal 43" xfId="35" xr:uid="{85353BDC-7312-4894-9E8B-6F719D0A62DB}"/>
    <cellStyle name="Normal 44" xfId="38" xr:uid="{1334919B-BEAD-4930-857D-B85B43CA00C9}"/>
    <cellStyle name="Normal 50" xfId="34" xr:uid="{559DC58B-5D41-4D6A-8242-492D9A5E27C8}"/>
    <cellStyle name="Normal 51" xfId="49" xr:uid="{4A00E80C-7059-4D67-AF09-8BCE06A54375}"/>
    <cellStyle name="Normal 52" xfId="44" xr:uid="{C62DD314-A8A3-4D10-84EF-97A44B8E313F}"/>
    <cellStyle name="Normal 55" xfId="11" xr:uid="{8723FC9E-3A4D-4E46-9115-2AAD6294D63F}"/>
    <cellStyle name="Normal 55 2" xfId="31" xr:uid="{54F2D85F-5F25-468D-9C30-10D75BDD968F}"/>
    <cellStyle name="Normal 55 2 2" xfId="33" xr:uid="{861E3041-9926-4972-AB3E-88DF62AD6329}"/>
    <cellStyle name="Normal 55 2 2 2 3" xfId="37" xr:uid="{B9CD1123-AD5F-4953-AD1B-033411E4A919}"/>
    <cellStyle name="Normal 57" xfId="9" xr:uid="{595DED48-F2A9-44FD-B531-3B9D055D6F2F}"/>
    <cellStyle name="Normal 6" xfId="13" xr:uid="{23970FB3-2B3D-43A6-9E8F-8E398A635660}"/>
    <cellStyle name="Normal 6 3 2 2" xfId="26" xr:uid="{158357DD-D250-431C-A11F-2D10DF19FB13}"/>
    <cellStyle name="Normal 6 3 2 2 2" xfId="42" xr:uid="{258FA92D-8210-499D-9585-FBD75F829E86}"/>
    <cellStyle name="Normal 60" xfId="40" xr:uid="{9991B0A5-9E41-4850-B231-C4CF9AD34C14}"/>
    <cellStyle name="Normal 61" xfId="45" xr:uid="{3DA13A4C-9433-498B-9743-FB83E5C1A511}"/>
    <cellStyle name="Normal 64" xfId="21" xr:uid="{EFCC66DD-9B53-4AC3-8090-E152AE6C921A}"/>
    <cellStyle name="Normal 66" xfId="5" xr:uid="{E8FA8B52-FE13-4090-B92A-8734EF56BABD}"/>
    <cellStyle name="Normal 67" xfId="4" xr:uid="{5B5B1ADB-A8DE-4C8C-9548-16A9171F6F2D}"/>
    <cellStyle name="Normal 74" xfId="14" xr:uid="{072AD5D7-CF5E-498D-ADEB-4D1148AE2AF1}"/>
    <cellStyle name="Normal 77" xfId="22" xr:uid="{27A1B1AE-95B8-4525-989A-A35E4783FE88}"/>
    <cellStyle name="Normal 80" xfId="6" xr:uid="{0C737768-AB4B-41D8-AA66-E6939A3FE3E7}"/>
    <cellStyle name="Normal 82" xfId="7" xr:uid="{2942F703-31FA-4939-8399-95DE124D2AD6}"/>
    <cellStyle name="Standaard_SCLUP - New Categories with rt" xfId="3" xr:uid="{CA1D3F83-53ED-4CDF-B496-BC5ECABE2C31}"/>
    <cellStyle name="표준" xfId="0" builtinId="0"/>
    <cellStyle name="표준 2" xfId="1" xr:uid="{5C424B26-A004-4168-AAB9-1517C948CF3C}"/>
    <cellStyle name="표준 3" xfId="50" xr:uid="{4CEDACC7-4AFD-41E6-8FF8-809B936BB16D}"/>
  </cellStyles>
  <dxfs count="0"/>
  <tableStyles count="0" defaultTableStyle="TableStyleMedium2" defaultPivotStyle="PivotStyleLight16"/>
  <colors>
    <mruColors>
      <color rgb="FFFFFFFF"/>
      <color rgb="FFFF00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vert="horz"/>
          <a:lstStyle/>
          <a:p>
            <a:pPr algn="l">
              <a:defRPr/>
            </a:pPr>
            <a:r>
              <a:rPr lang="en-US" sz="1200"/>
              <a:t>Business Strength Analysis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99B37"/>
            </a:solidFill>
            <a:ln w="9525">
              <a:noFill/>
            </a:ln>
          </c:spPr>
          <c:invertIfNegative val="0"/>
          <c:cat>
            <c:strRef>
              <c:f>Template!$Q$202:$Q$205</c:f>
              <c:strCache>
                <c:ptCount val="4"/>
                <c:pt idx="0">
                  <c:v>Product A</c:v>
                </c:pt>
                <c:pt idx="1">
                  <c:v>Thinkfree Office</c:v>
                </c:pt>
                <c:pt idx="2">
                  <c:v>Product C</c:v>
                </c:pt>
                <c:pt idx="3">
                  <c:v>Product D</c:v>
                </c:pt>
              </c:strCache>
            </c:strRef>
          </c:cat>
          <c:val>
            <c:numRef>
              <c:f>Template!$R$202:$R$205</c:f>
              <c:numCache>
                <c:formatCode>0.00</c:formatCode>
                <c:ptCount val="4"/>
                <c:pt idx="0">
                  <c:v>2.6999999999999997</c:v>
                </c:pt>
                <c:pt idx="1">
                  <c:v>4.5</c:v>
                </c:pt>
                <c:pt idx="2">
                  <c:v>2.4000000000000004</c:v>
                </c:pt>
                <c:pt idx="3">
                  <c:v>2.5499999999999998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E-48E9-BE13-A4C779607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3800207"/>
        <c:axId val="1"/>
      </c:barChart>
      <c:catAx>
        <c:axId val="1443800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algn="l">
              <a:defRPr/>
            </a:pPr>
            <a:endParaRPr lang="ko-K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 algn="l">
              <a:defRPr/>
            </a:pPr>
            <a:endParaRPr lang="ko-KR"/>
          </a:p>
        </c:txPr>
        <c:crossAx val="1443800207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0"/>
    <c:dispBlanksAs val="gap"/>
    <c:showDLblsOverMax val="1"/>
  </c:chart>
  <c:spPr>
    <a:solidFill>
      <a:srgbClr val="FFFFFF"/>
    </a:solidFill>
    <a:ln w="9525">
      <a:noFill/>
    </a:ln>
  </c:spPr>
  <c:txPr>
    <a:bodyPr rot="0" vert="horz" wrap="none" lIns="0" tIns="0" rIns="0" bIns="0" anchor="ctr" anchorCtr="1"/>
    <a:lstStyle/>
    <a:p>
      <a:pPr algn="l">
        <a:defRPr sz="900" b="0" i="0" u="none">
          <a:solidFill>
            <a:srgbClr val="000000"/>
          </a:solidFill>
          <a:latin typeface="Arial" panose="020B0604020202020204" pitchFamily="34" charset="0"/>
          <a:ea typeface="HCRDotum"/>
          <a:cs typeface="Arial" panose="020B0604020202020204" pitchFamily="34" charset="0"/>
          <a:sym typeface="HCRDotum"/>
        </a:defRPr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Chart!$B$1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Chart!$A$2:$A$19</c:f>
              <c:strCache>
                <c:ptCount val="18"/>
                <c:pt idx="0">
                  <c:v>Support towards the Europe PMC initiative-Contribution for 2014-2016</c:v>
                </c:pt>
                <c:pt idx="1">
                  <c:v>Support to the Vice-Presidents of the ERC Scientific Council 2014</c:v>
                </c:pt>
                <c:pt idx="2">
                  <c:v>Implementation of activities described in the Roadmap to Fusion during Horizon 2020</c:v>
                </c:pt>
                <c:pt idx="3">
                  <c:v>Monitoring Atmospheric Composition and Climate -III</c:v>
                </c:pt>
                <c:pt idx="4">
                  <c:v>Pre-Operational Marine Service Continuity in Transition towards Copernicus</c:v>
                </c:pt>
                <c:pt idx="5">
                  <c:v>Underwater Time Of Flight Image Acquisition system</c:v>
                </c:pt>
                <c:pt idx="6">
                  <c:v>European Union Contest for Young Scientists 2014</c:v>
                </c:pt>
                <c:pt idx="7">
                  <c:v>Understanding Planet Mars With Advanced Remote-sensing Datasets and Synergistic Studies</c:v>
                </c:pt>
                <c:pt idx="8">
                  <c:v>Geometric problems in PDEs with applications to fluid mechanics</c:v>
                </c:pt>
                <c:pt idx="9">
                  <c:v>Light Night</c:v>
                </c:pt>
                <c:pt idx="10">
                  <c:v>European Researachers' Night in Madrid 2014-2015</c:v>
                </c:pt>
                <c:pt idx="11">
                  <c:v>Meet and learn What Excellent science does FOR YOU and the society</c:v>
                </c:pt>
                <c:pt idx="12">
                  <c:v>EuroMix</c:v>
                </c:pt>
                <c:pt idx="13">
                  <c:v>Researchers in the Knowledge Triangle</c:v>
                </c:pt>
                <c:pt idx="14">
                  <c:v>Strengthening Animal Production and Health through the Immune Response</c:v>
                </c:pt>
                <c:pt idx="15">
                  <c:v>Toolless Manufacturing of Complex Structures</c:v>
                </c:pt>
                <c:pt idx="16">
                  <c:v>LUnga notte della ricerca - Lange NAcht der Forschung 2014</c:v>
                </c:pt>
                <c:pt idx="17">
                  <c:v>Optimizing and Enhancing the Integrated Atlantic Ocean Observing System</c:v>
                </c:pt>
              </c:strCache>
            </c:strRef>
          </c:cat>
          <c:val>
            <c:numRef>
              <c:f>Chart!$B$2:$B$19</c:f>
              <c:numCache>
                <c:formatCode>#,##0.00</c:formatCode>
                <c:ptCount val="18"/>
                <c:pt idx="0">
                  <c:v>230000</c:v>
                </c:pt>
                <c:pt idx="1">
                  <c:v>258500</c:v>
                </c:pt>
                <c:pt idx="2">
                  <c:v>16961937.57</c:v>
                </c:pt>
                <c:pt idx="3">
                  <c:v>5000000</c:v>
                </c:pt>
                <c:pt idx="4">
                  <c:v>6000000.04</c:v>
                </c:pt>
                <c:pt idx="5">
                  <c:v>5716971</c:v>
                </c:pt>
                <c:pt idx="6">
                  <c:v>1467500</c:v>
                </c:pt>
                <c:pt idx="7">
                  <c:v>2103593.75</c:v>
                </c:pt>
                <c:pt idx="8">
                  <c:v>1256375</c:v>
                </c:pt>
                <c:pt idx="9">
                  <c:v>8154410</c:v>
                </c:pt>
                <c:pt idx="10">
                  <c:v>187925</c:v>
                </c:pt>
                <c:pt idx="11">
                  <c:v>79737.5</c:v>
                </c:pt>
                <c:pt idx="12">
                  <c:v>8821295.5600000005</c:v>
                </c:pt>
                <c:pt idx="13">
                  <c:v>248645</c:v>
                </c:pt>
                <c:pt idx="14">
                  <c:v>10519483.75</c:v>
                </c:pt>
                <c:pt idx="15">
                  <c:v>3157986</c:v>
                </c:pt>
                <c:pt idx="16">
                  <c:v>189032</c:v>
                </c:pt>
                <c:pt idx="17">
                  <c:v>20652921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32-40B8-9000-0672E6B80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30387359"/>
        <c:axId val="157841471"/>
      </c:barChart>
      <c:catAx>
        <c:axId val="15303873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7841471"/>
        <c:crosses val="autoZero"/>
        <c:auto val="1"/>
        <c:lblAlgn val="ctr"/>
        <c:lblOffset val="100"/>
        <c:noMultiLvlLbl val="0"/>
      </c:catAx>
      <c:valAx>
        <c:axId val="15784147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crossAx val="153038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20</xdr:row>
      <xdr:rowOff>19050</xdr:rowOff>
    </xdr:from>
    <xdr:to>
      <xdr:col>16</xdr:col>
      <xdr:colOff>209550</xdr:colOff>
      <xdr:row>41</xdr:row>
      <xdr:rowOff>47625</xdr:rowOff>
    </xdr:to>
    <xdr:graphicFrame macro="">
      <xdr:nvGraphicFramePr>
        <xdr:cNvPr id="2" name="Chart 1025">
          <a:extLst>
            <a:ext uri="{FF2B5EF4-FFF2-40B4-BE49-F238E27FC236}">
              <a16:creationId xmlns:a16="http://schemas.microsoft.com/office/drawing/2014/main" id="{B9053254-8871-4A66-9AD1-7259175E32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3209926</xdr:colOff>
      <xdr:row>0</xdr:row>
      <xdr:rowOff>66676</xdr:rowOff>
    </xdr:from>
    <xdr:to>
      <xdr:col>4</xdr:col>
      <xdr:colOff>1809751</xdr:colOff>
      <xdr:row>0</xdr:row>
      <xdr:rowOff>432436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7263A02-F6BE-43AF-C80C-23DE2BF76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86826" y="66676"/>
          <a:ext cx="1828800" cy="3657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123826</xdr:colOff>
      <xdr:row>20</xdr:row>
      <xdr:rowOff>114300</xdr:rowOff>
    </xdr:from>
    <xdr:to>
      <xdr:col>7</xdr:col>
      <xdr:colOff>409576</xdr:colOff>
      <xdr:row>45</xdr:row>
      <xdr:rowOff>66675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2060C6B-B10F-2BDD-5068-51E89E2B43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ancell%20_excel%20files_27(Ultimate%20marketing%20calaculator)/Business%20Strength%20Analys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iness Strength Analysi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E0C53-4BA9-4154-843D-352DC1891744}">
  <sheetPr>
    <pageSetUpPr fitToPage="1"/>
  </sheetPr>
  <dimension ref="B1:R205"/>
  <sheetViews>
    <sheetView showGridLines="0" showRowColHeaders="0" showZeros="0" tabSelected="1" zoomScaleNormal="100" workbookViewId="0"/>
  </sheetViews>
  <sheetFormatPr defaultColWidth="8" defaultRowHeight="12.75" customHeight="1" x14ac:dyDescent="0.3"/>
  <cols>
    <col min="1" max="1" width="1.5" style="7" customWidth="1"/>
    <col min="2" max="2" width="29.5" style="7" customWidth="1"/>
    <col min="3" max="3" width="0.5" style="7" customWidth="1"/>
    <col min="4" max="6" width="8.5" style="7" customWidth="1"/>
    <col min="7" max="7" width="0.25" style="7" customWidth="1"/>
    <col min="8" max="10" width="8.5" style="7" customWidth="1"/>
    <col min="11" max="11" width="0.25" style="7" customWidth="1"/>
    <col min="12" max="14" width="8.5" style="7" customWidth="1"/>
    <col min="15" max="15" width="0.25" style="7" customWidth="1"/>
    <col min="16" max="18" width="8.5" style="7" customWidth="1"/>
    <col min="19" max="19" width="1.5" style="7" customWidth="1"/>
    <col min="20" max="16384" width="8" style="7"/>
  </cols>
  <sheetData>
    <row r="1" spans="2:18" ht="12" customHeight="1" x14ac:dyDescent="0.3"/>
    <row r="2" spans="2:18" ht="42" customHeight="1" x14ac:dyDescent="0.3">
      <c r="B2" s="34" t="s">
        <v>51</v>
      </c>
      <c r="C2" s="35"/>
      <c r="D2" s="34"/>
      <c r="E2" s="34"/>
      <c r="F2" s="34"/>
      <c r="G2" s="35"/>
      <c r="H2" s="34"/>
      <c r="I2" s="34"/>
      <c r="J2" s="34"/>
      <c r="K2" s="35"/>
      <c r="L2" s="34"/>
      <c r="M2" s="34"/>
      <c r="N2" s="34"/>
      <c r="O2" s="35"/>
      <c r="P2" s="34"/>
      <c r="Q2" s="34"/>
      <c r="R2" s="34"/>
    </row>
    <row r="3" spans="2:18" ht="24" customHeight="1" x14ac:dyDescent="0.3"/>
    <row r="4" spans="2:18" ht="24" customHeight="1" x14ac:dyDescent="0.3">
      <c r="D4" s="36" t="s">
        <v>66</v>
      </c>
      <c r="E4" s="37"/>
      <c r="F4" s="38"/>
      <c r="H4" s="36" t="s">
        <v>67</v>
      </c>
      <c r="I4" s="37"/>
      <c r="J4" s="38"/>
      <c r="K4" s="8"/>
      <c r="L4" s="37" t="s">
        <v>52</v>
      </c>
      <c r="M4" s="37"/>
      <c r="N4" s="37"/>
      <c r="O4" s="9"/>
      <c r="P4" s="37" t="s">
        <v>53</v>
      </c>
      <c r="Q4" s="37"/>
      <c r="R4" s="38"/>
    </row>
    <row r="5" spans="2:18" ht="18" customHeight="1" x14ac:dyDescent="0.3">
      <c r="D5" s="39" t="s">
        <v>54</v>
      </c>
      <c r="E5" s="39"/>
      <c r="F5" s="39"/>
      <c r="H5" s="39" t="s">
        <v>54</v>
      </c>
      <c r="I5" s="39"/>
      <c r="J5" s="39"/>
      <c r="L5" s="39" t="s">
        <v>54</v>
      </c>
      <c r="M5" s="39"/>
      <c r="N5" s="39"/>
      <c r="P5" s="39" t="s">
        <v>54</v>
      </c>
      <c r="Q5" s="39"/>
      <c r="R5" s="39"/>
    </row>
    <row r="6" spans="2:18" ht="18" customHeight="1" x14ac:dyDescent="0.3">
      <c r="D6" s="32" t="s">
        <v>55</v>
      </c>
      <c r="E6" s="32"/>
      <c r="F6" s="33"/>
      <c r="G6" s="11"/>
      <c r="H6" s="32" t="s">
        <v>55</v>
      </c>
      <c r="I6" s="32"/>
      <c r="J6" s="32"/>
      <c r="L6" s="32" t="s">
        <v>55</v>
      </c>
      <c r="M6" s="32"/>
      <c r="N6" s="32"/>
      <c r="P6" s="32" t="s">
        <v>55</v>
      </c>
      <c r="Q6" s="32"/>
      <c r="R6" s="32"/>
    </row>
    <row r="7" spans="2:18" ht="24" customHeight="1" x14ac:dyDescent="0.3">
      <c r="B7" s="10" t="s">
        <v>56</v>
      </c>
      <c r="D7" s="12" t="s">
        <v>57</v>
      </c>
      <c r="E7" s="10" t="s">
        <v>58</v>
      </c>
      <c r="F7" s="12" t="s">
        <v>59</v>
      </c>
      <c r="H7" s="12" t="s">
        <v>57</v>
      </c>
      <c r="I7" s="10" t="s">
        <v>58</v>
      </c>
      <c r="J7" s="12" t="s">
        <v>59</v>
      </c>
      <c r="L7" s="12" t="s">
        <v>57</v>
      </c>
      <c r="M7" s="10" t="s">
        <v>58</v>
      </c>
      <c r="N7" s="12" t="s">
        <v>59</v>
      </c>
      <c r="P7" s="12" t="s">
        <v>57</v>
      </c>
      <c r="Q7" s="10" t="s">
        <v>58</v>
      </c>
      <c r="R7" s="12" t="s">
        <v>59</v>
      </c>
    </row>
    <row r="8" spans="2:18" ht="18" customHeight="1" x14ac:dyDescent="0.3">
      <c r="B8" s="13" t="s">
        <v>60</v>
      </c>
      <c r="C8" s="14">
        <v>1</v>
      </c>
      <c r="D8" s="15">
        <v>0.15</v>
      </c>
      <c r="E8" s="16">
        <v>3</v>
      </c>
      <c r="F8" s="17">
        <f t="shared" ref="F8:F17" si="0">D8*E8</f>
        <v>0.44999999999999996</v>
      </c>
      <c r="G8" s="14"/>
      <c r="H8" s="15">
        <v>0.15</v>
      </c>
      <c r="I8" s="16">
        <v>5</v>
      </c>
      <c r="J8" s="17">
        <f t="shared" ref="J8:J17" si="1">H8*I8</f>
        <v>0.75</v>
      </c>
      <c r="L8" s="15">
        <v>0.15</v>
      </c>
      <c r="M8" s="16">
        <v>1</v>
      </c>
      <c r="N8" s="17">
        <f t="shared" ref="N8:N17" si="2">L8*M8</f>
        <v>0.15</v>
      </c>
      <c r="P8" s="15">
        <v>0.15</v>
      </c>
      <c r="Q8" s="16">
        <v>5</v>
      </c>
      <c r="R8" s="17">
        <f t="shared" ref="R8:R17" si="3">P8*Q8</f>
        <v>0.75</v>
      </c>
    </row>
    <row r="9" spans="2:18" ht="18" customHeight="1" x14ac:dyDescent="0.3">
      <c r="B9" s="18" t="s">
        <v>61</v>
      </c>
      <c r="C9" s="14"/>
      <c r="D9" s="19">
        <v>0.1</v>
      </c>
      <c r="E9" s="20">
        <v>5</v>
      </c>
      <c r="F9" s="21">
        <f t="shared" si="0"/>
        <v>0.5</v>
      </c>
      <c r="G9" s="14"/>
      <c r="H9" s="19">
        <v>0.1</v>
      </c>
      <c r="I9" s="20">
        <v>4</v>
      </c>
      <c r="J9" s="21">
        <f t="shared" si="1"/>
        <v>0.4</v>
      </c>
      <c r="L9" s="19">
        <v>0.1</v>
      </c>
      <c r="M9" s="20">
        <v>2</v>
      </c>
      <c r="N9" s="21">
        <f t="shared" si="2"/>
        <v>0.2</v>
      </c>
      <c r="P9" s="19">
        <v>0.1</v>
      </c>
      <c r="Q9" s="20">
        <v>2</v>
      </c>
      <c r="R9" s="21">
        <f t="shared" si="3"/>
        <v>0.2</v>
      </c>
    </row>
    <row r="10" spans="2:18" ht="18" customHeight="1" x14ac:dyDescent="0.3">
      <c r="B10" s="18" t="s">
        <v>62</v>
      </c>
      <c r="C10" s="14"/>
      <c r="D10" s="19">
        <v>0.15</v>
      </c>
      <c r="E10" s="20">
        <v>5</v>
      </c>
      <c r="F10" s="21">
        <f t="shared" si="0"/>
        <v>0.75</v>
      </c>
      <c r="G10" s="14"/>
      <c r="H10" s="19">
        <v>0.15</v>
      </c>
      <c r="I10" s="20">
        <v>5</v>
      </c>
      <c r="J10" s="21">
        <f t="shared" si="1"/>
        <v>0.75</v>
      </c>
      <c r="L10" s="19">
        <v>0.15</v>
      </c>
      <c r="M10" s="20">
        <v>3</v>
      </c>
      <c r="N10" s="21">
        <f t="shared" si="2"/>
        <v>0.44999999999999996</v>
      </c>
      <c r="P10" s="19">
        <v>0.15</v>
      </c>
      <c r="Q10" s="20">
        <v>4</v>
      </c>
      <c r="R10" s="21">
        <f t="shared" si="3"/>
        <v>0.6</v>
      </c>
    </row>
    <row r="11" spans="2:18" ht="18" customHeight="1" x14ac:dyDescent="0.3">
      <c r="B11" s="18" t="s">
        <v>63</v>
      </c>
      <c r="C11" s="14"/>
      <c r="D11" s="19">
        <v>0.2</v>
      </c>
      <c r="E11" s="20">
        <v>3</v>
      </c>
      <c r="F11" s="21">
        <f t="shared" si="0"/>
        <v>0.60000000000000009</v>
      </c>
      <c r="G11" s="14"/>
      <c r="H11" s="19">
        <v>0.2</v>
      </c>
      <c r="I11" s="20">
        <v>5</v>
      </c>
      <c r="J11" s="21">
        <f t="shared" si="1"/>
        <v>1</v>
      </c>
      <c r="L11" s="19">
        <v>0.2</v>
      </c>
      <c r="M11" s="20">
        <v>4</v>
      </c>
      <c r="N11" s="21">
        <f t="shared" si="2"/>
        <v>0.8</v>
      </c>
      <c r="P11" s="19">
        <v>0.2</v>
      </c>
      <c r="Q11" s="20">
        <v>1</v>
      </c>
      <c r="R11" s="21">
        <f t="shared" si="3"/>
        <v>0.2</v>
      </c>
    </row>
    <row r="12" spans="2:18" ht="18" customHeight="1" x14ac:dyDescent="0.3">
      <c r="B12" s="18" t="s">
        <v>64</v>
      </c>
      <c r="C12" s="14"/>
      <c r="D12" s="19">
        <v>0.4</v>
      </c>
      <c r="E12" s="20">
        <v>1</v>
      </c>
      <c r="F12" s="21">
        <f t="shared" si="0"/>
        <v>0.4</v>
      </c>
      <c r="G12" s="14"/>
      <c r="H12" s="19">
        <v>0.4</v>
      </c>
      <c r="I12" s="20">
        <v>4</v>
      </c>
      <c r="J12" s="21">
        <f t="shared" si="1"/>
        <v>1.6</v>
      </c>
      <c r="L12" s="19">
        <v>0.4</v>
      </c>
      <c r="M12" s="20">
        <v>2</v>
      </c>
      <c r="N12" s="21">
        <f t="shared" si="2"/>
        <v>0.8</v>
      </c>
      <c r="P12" s="19">
        <v>0.4</v>
      </c>
      <c r="Q12" s="20">
        <v>2</v>
      </c>
      <c r="R12" s="21">
        <f t="shared" si="3"/>
        <v>0.8</v>
      </c>
    </row>
    <row r="13" spans="2:18" ht="18" customHeight="1" x14ac:dyDescent="0.3">
      <c r="B13" s="18"/>
      <c r="C13" s="14"/>
      <c r="D13" s="19"/>
      <c r="E13" s="20"/>
      <c r="F13" s="21">
        <f t="shared" si="0"/>
        <v>0</v>
      </c>
      <c r="G13" s="14"/>
      <c r="H13" s="19"/>
      <c r="I13" s="20"/>
      <c r="J13" s="21">
        <f t="shared" si="1"/>
        <v>0</v>
      </c>
      <c r="L13" s="19"/>
      <c r="M13" s="20"/>
      <c r="N13" s="21">
        <f t="shared" si="2"/>
        <v>0</v>
      </c>
      <c r="P13" s="19"/>
      <c r="Q13" s="20"/>
      <c r="R13" s="21">
        <f t="shared" si="3"/>
        <v>0</v>
      </c>
    </row>
    <row r="14" spans="2:18" ht="18" customHeight="1" x14ac:dyDescent="0.3">
      <c r="B14" s="18"/>
      <c r="C14" s="14"/>
      <c r="D14" s="19"/>
      <c r="E14" s="20"/>
      <c r="F14" s="21">
        <f t="shared" si="0"/>
        <v>0</v>
      </c>
      <c r="G14" s="14"/>
      <c r="H14" s="19"/>
      <c r="I14" s="20"/>
      <c r="J14" s="21">
        <f t="shared" si="1"/>
        <v>0</v>
      </c>
      <c r="L14" s="19"/>
      <c r="M14" s="20"/>
      <c r="N14" s="21">
        <f t="shared" si="2"/>
        <v>0</v>
      </c>
      <c r="P14" s="19"/>
      <c r="Q14" s="20"/>
      <c r="R14" s="21">
        <f t="shared" si="3"/>
        <v>0</v>
      </c>
    </row>
    <row r="15" spans="2:18" ht="18" customHeight="1" x14ac:dyDescent="0.3">
      <c r="B15" s="18"/>
      <c r="C15" s="14"/>
      <c r="D15" s="19"/>
      <c r="E15" s="20"/>
      <c r="F15" s="21">
        <f t="shared" si="0"/>
        <v>0</v>
      </c>
      <c r="G15" s="14"/>
      <c r="H15" s="19"/>
      <c r="I15" s="20"/>
      <c r="J15" s="21">
        <f t="shared" si="1"/>
        <v>0</v>
      </c>
      <c r="L15" s="19"/>
      <c r="M15" s="20"/>
      <c r="N15" s="21">
        <f t="shared" si="2"/>
        <v>0</v>
      </c>
      <c r="P15" s="19"/>
      <c r="Q15" s="20"/>
      <c r="R15" s="21">
        <f t="shared" si="3"/>
        <v>0</v>
      </c>
    </row>
    <row r="16" spans="2:18" ht="18" customHeight="1" x14ac:dyDescent="0.3">
      <c r="B16" s="18"/>
      <c r="C16" s="14"/>
      <c r="D16" s="19"/>
      <c r="E16" s="20"/>
      <c r="F16" s="21">
        <f t="shared" si="0"/>
        <v>0</v>
      </c>
      <c r="G16" s="14"/>
      <c r="H16" s="19"/>
      <c r="I16" s="20"/>
      <c r="J16" s="21">
        <f t="shared" si="1"/>
        <v>0</v>
      </c>
      <c r="L16" s="19"/>
      <c r="M16" s="20"/>
      <c r="N16" s="21">
        <f t="shared" si="2"/>
        <v>0</v>
      </c>
      <c r="P16" s="19"/>
      <c r="Q16" s="20"/>
      <c r="R16" s="21">
        <f t="shared" si="3"/>
        <v>0</v>
      </c>
    </row>
    <row r="17" spans="2:18" ht="18" customHeight="1" x14ac:dyDescent="0.3">
      <c r="B17" s="22"/>
      <c r="C17" s="14"/>
      <c r="D17" s="23"/>
      <c r="E17" s="24"/>
      <c r="F17" s="25">
        <f t="shared" si="0"/>
        <v>0</v>
      </c>
      <c r="G17" s="14"/>
      <c r="H17" s="23"/>
      <c r="I17" s="24"/>
      <c r="J17" s="25">
        <f t="shared" si="1"/>
        <v>0</v>
      </c>
      <c r="L17" s="23"/>
      <c r="M17" s="24"/>
      <c r="N17" s="25">
        <f t="shared" si="2"/>
        <v>0</v>
      </c>
      <c r="P17" s="23"/>
      <c r="Q17" s="24"/>
      <c r="R17" s="25">
        <f t="shared" si="3"/>
        <v>0</v>
      </c>
    </row>
    <row r="18" spans="2:18" ht="24" customHeight="1" x14ac:dyDescent="0.3">
      <c r="B18" s="26" t="s">
        <v>65</v>
      </c>
      <c r="D18" s="27">
        <f>SUM(D8:D17)</f>
        <v>1</v>
      </c>
      <c r="E18" s="28"/>
      <c r="F18" s="29">
        <f>SUM(F8:F17)</f>
        <v>2.6999999999999997</v>
      </c>
      <c r="H18" s="27">
        <f>SUM(H8:H17)</f>
        <v>1</v>
      </c>
      <c r="I18" s="28"/>
      <c r="J18" s="29">
        <f>SUM(J8:J17)</f>
        <v>4.5</v>
      </c>
      <c r="L18" s="27">
        <f>SUM(L8:L17)</f>
        <v>1</v>
      </c>
      <c r="M18" s="28"/>
      <c r="N18" s="29">
        <f>SUM(N8:N17)</f>
        <v>2.4000000000000004</v>
      </c>
      <c r="P18" s="27">
        <f>SUM(P8:P17)</f>
        <v>1</v>
      </c>
      <c r="Q18" s="28"/>
      <c r="R18" s="29">
        <f>SUM(R8:R17)</f>
        <v>2.5499999999999998</v>
      </c>
    </row>
    <row r="19" spans="2:18" x14ac:dyDescent="0.3"/>
    <row r="20" spans="2:18" x14ac:dyDescent="0.3"/>
    <row r="21" spans="2:18" x14ac:dyDescent="0.3"/>
    <row r="22" spans="2:18" x14ac:dyDescent="0.3"/>
    <row r="23" spans="2:18" x14ac:dyDescent="0.3"/>
    <row r="24" spans="2:18" x14ac:dyDescent="0.3"/>
    <row r="25" spans="2:18" x14ac:dyDescent="0.3"/>
    <row r="26" spans="2:18" x14ac:dyDescent="0.3"/>
    <row r="27" spans="2:18" x14ac:dyDescent="0.3"/>
    <row r="28" spans="2:18" x14ac:dyDescent="0.3"/>
    <row r="29" spans="2:18" x14ac:dyDescent="0.3"/>
    <row r="30" spans="2:18" x14ac:dyDescent="0.3"/>
    <row r="31" spans="2:18" x14ac:dyDescent="0.3"/>
    <row r="32" spans="2:18" x14ac:dyDescent="0.3"/>
    <row r="33" x14ac:dyDescent="0.3"/>
    <row r="34" x14ac:dyDescent="0.3"/>
    <row r="35" x14ac:dyDescent="0.3"/>
    <row r="36" x14ac:dyDescent="0.3"/>
    <row r="37" x14ac:dyDescent="0.3"/>
    <row r="38" x14ac:dyDescent="0.3"/>
    <row r="39" x14ac:dyDescent="0.3"/>
    <row r="40" x14ac:dyDescent="0.3"/>
    <row r="41" x14ac:dyDescent="0.3"/>
    <row r="42" x14ac:dyDescent="0.3"/>
    <row r="43" x14ac:dyDescent="0.3"/>
    <row r="44" x14ac:dyDescent="0.3"/>
    <row r="45" x14ac:dyDescent="0.3"/>
    <row r="46" x14ac:dyDescent="0.3"/>
    <row r="47" x14ac:dyDescent="0.3"/>
    <row r="48" x14ac:dyDescent="0.3"/>
    <row r="49" x14ac:dyDescent="0.3"/>
    <row r="50" x14ac:dyDescent="0.3"/>
    <row r="51" x14ac:dyDescent="0.3"/>
    <row r="52" x14ac:dyDescent="0.3"/>
    <row r="53" x14ac:dyDescent="0.3"/>
    <row r="54" x14ac:dyDescent="0.3"/>
    <row r="55" x14ac:dyDescent="0.3"/>
    <row r="56" x14ac:dyDescent="0.3"/>
    <row r="57" x14ac:dyDescent="0.3"/>
    <row r="58" x14ac:dyDescent="0.3"/>
    <row r="59" x14ac:dyDescent="0.3"/>
    <row r="60" x14ac:dyDescent="0.3"/>
    <row r="61" x14ac:dyDescent="0.3"/>
    <row r="62" x14ac:dyDescent="0.3"/>
    <row r="63" x14ac:dyDescent="0.3"/>
    <row r="64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202" spans="17:18" x14ac:dyDescent="0.3">
      <c r="Q202" s="30" t="str">
        <f>D4</f>
        <v>Product A</v>
      </c>
      <c r="R202" s="31">
        <f>F18</f>
        <v>2.6999999999999997</v>
      </c>
    </row>
    <row r="203" spans="17:18" x14ac:dyDescent="0.3">
      <c r="Q203" s="30" t="str">
        <f>H4</f>
        <v>Thinkfree Office</v>
      </c>
      <c r="R203" s="31">
        <f>J18</f>
        <v>4.5</v>
      </c>
    </row>
    <row r="204" spans="17:18" x14ac:dyDescent="0.3">
      <c r="Q204" s="30" t="str">
        <f>L4</f>
        <v>Product C</v>
      </c>
      <c r="R204" s="31">
        <f>N18</f>
        <v>2.4000000000000004</v>
      </c>
    </row>
    <row r="205" spans="17:18" x14ac:dyDescent="0.3">
      <c r="Q205" s="30" t="str">
        <f>P4</f>
        <v>Product D</v>
      </c>
      <c r="R205" s="31">
        <f>R18</f>
        <v>2.5499999999999998</v>
      </c>
    </row>
  </sheetData>
  <mergeCells count="13">
    <mergeCell ref="D6:F6"/>
    <mergeCell ref="H6:J6"/>
    <mergeCell ref="L6:N6"/>
    <mergeCell ref="P6:R6"/>
    <mergeCell ref="B2:R2"/>
    <mergeCell ref="D4:F4"/>
    <mergeCell ref="H4:J4"/>
    <mergeCell ref="L4:N4"/>
    <mergeCell ref="P4:R4"/>
    <mergeCell ref="D5:F5"/>
    <mergeCell ref="H5:J5"/>
    <mergeCell ref="L5:N5"/>
    <mergeCell ref="P5:R5"/>
  </mergeCells>
  <phoneticPr fontId="2" type="noConversion"/>
  <printOptions horizontalCentered="1"/>
  <pageMargins left="0.72027778625488281" right="0.72027778625488281" top="0.9476388692855835" bottom="0.9476388692855835" header="0.48138889670372009" footer="0.48138889670372009"/>
  <pageSetup scale="83" orientation="landscape" copie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569B-09C4-417B-B5A4-60860FE9DBE7}">
  <dimension ref="B1:E16"/>
  <sheetViews>
    <sheetView showGridLines="0" workbookViewId="0">
      <pane ySplit="8" topLeftCell="A9" activePane="bottomLeft" state="frozen"/>
      <selection pane="bottomLeft"/>
    </sheetView>
  </sheetViews>
  <sheetFormatPr defaultRowHeight="14.25" x14ac:dyDescent="0.3"/>
  <cols>
    <col min="1" max="1" width="4.125" style="40" customWidth="1"/>
    <col min="2" max="2" width="22.125" style="40" customWidth="1"/>
    <col min="3" max="3" width="52.375" style="40" customWidth="1"/>
    <col min="4" max="4" width="42.375" style="40" customWidth="1"/>
    <col min="5" max="5" width="24.25" style="40" customWidth="1"/>
    <col min="6" max="16384" width="9" style="40"/>
  </cols>
  <sheetData>
    <row r="1" spans="2:5" ht="40.5" customHeight="1" x14ac:dyDescent="0.3"/>
    <row r="2" spans="2:5" ht="26.25" x14ac:dyDescent="0.3">
      <c r="B2" s="41" t="s">
        <v>0</v>
      </c>
      <c r="C2" s="41"/>
      <c r="D2" s="41"/>
      <c r="E2" s="41"/>
    </row>
    <row r="3" spans="2:5" ht="27" customHeight="1" thickBot="1" x14ac:dyDescent="0.35">
      <c r="B3" s="42"/>
      <c r="C3" s="42"/>
      <c r="D3" s="42"/>
      <c r="E3" s="42"/>
    </row>
    <row r="4" spans="2:5" ht="56.25" customHeight="1" x14ac:dyDescent="0.3">
      <c r="B4" s="55" t="s">
        <v>2</v>
      </c>
      <c r="C4" s="56" t="s">
        <v>1</v>
      </c>
      <c r="D4" s="57"/>
      <c r="E4" s="58"/>
    </row>
    <row r="5" spans="2:5" ht="24.75" customHeight="1" thickBot="1" x14ac:dyDescent="0.35">
      <c r="B5" s="59" t="s">
        <v>3</v>
      </c>
      <c r="C5" s="60" t="s">
        <v>4</v>
      </c>
      <c r="D5" s="60"/>
      <c r="E5" s="61"/>
    </row>
    <row r="6" spans="2:5" x14ac:dyDescent="0.3">
      <c r="C6" s="43"/>
    </row>
    <row r="7" spans="2:5" ht="15" thickBot="1" x14ac:dyDescent="0.35"/>
    <row r="8" spans="2:5" s="45" customFormat="1" ht="15" x14ac:dyDescent="0.3">
      <c r="B8" s="62" t="s">
        <v>5</v>
      </c>
      <c r="C8" s="63" t="s">
        <v>6</v>
      </c>
      <c r="D8" s="64" t="s">
        <v>19</v>
      </c>
      <c r="E8" s="44" t="s">
        <v>20</v>
      </c>
    </row>
    <row r="9" spans="2:5" x14ac:dyDescent="0.3">
      <c r="B9" s="48" t="s">
        <v>68</v>
      </c>
      <c r="C9" s="46" t="s">
        <v>7</v>
      </c>
      <c r="D9" s="49"/>
    </row>
    <row r="10" spans="2:5" x14ac:dyDescent="0.3">
      <c r="B10" s="48" t="s">
        <v>11</v>
      </c>
      <c r="C10" s="46" t="s">
        <v>8</v>
      </c>
      <c r="D10" s="49"/>
    </row>
    <row r="11" spans="2:5" x14ac:dyDescent="0.3">
      <c r="B11" s="48" t="s">
        <v>12</v>
      </c>
      <c r="C11" s="46" t="s">
        <v>9</v>
      </c>
      <c r="D11" s="49" t="s">
        <v>21</v>
      </c>
    </row>
    <row r="12" spans="2:5" ht="85.5" x14ac:dyDescent="0.3">
      <c r="B12" s="48" t="s">
        <v>13</v>
      </c>
      <c r="C12" s="46" t="s">
        <v>10</v>
      </c>
      <c r="D12" s="50" t="s">
        <v>22</v>
      </c>
    </row>
    <row r="13" spans="2:5" ht="57" x14ac:dyDescent="0.3">
      <c r="B13" s="48" t="s">
        <v>14</v>
      </c>
      <c r="C13" s="47" t="s">
        <v>18</v>
      </c>
      <c r="D13" s="49" t="s">
        <v>23</v>
      </c>
    </row>
    <row r="14" spans="2:5" ht="42.75" x14ac:dyDescent="0.3">
      <c r="B14" s="51" t="s">
        <v>15</v>
      </c>
      <c r="C14" s="47" t="s">
        <v>24</v>
      </c>
      <c r="D14" s="49" t="s">
        <v>25</v>
      </c>
    </row>
    <row r="15" spans="2:5" ht="42.75" x14ac:dyDescent="0.3">
      <c r="B15" s="51" t="s">
        <v>16</v>
      </c>
      <c r="C15" s="47" t="s">
        <v>26</v>
      </c>
      <c r="D15" s="49" t="s">
        <v>27</v>
      </c>
    </row>
    <row r="16" spans="2:5" ht="72" thickBot="1" x14ac:dyDescent="0.35">
      <c r="B16" s="52" t="s">
        <v>17</v>
      </c>
      <c r="C16" s="53" t="s">
        <v>28</v>
      </c>
      <c r="D16" s="54" t="s">
        <v>29</v>
      </c>
    </row>
  </sheetData>
  <mergeCells count="3">
    <mergeCell ref="C4:E4"/>
    <mergeCell ref="C5:E5"/>
    <mergeCell ref="B2:E2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7173B-521D-4EF2-B9FA-3F619C7C36D9}">
  <dimension ref="A1:B20"/>
  <sheetViews>
    <sheetView workbookViewId="0"/>
  </sheetViews>
  <sheetFormatPr defaultRowHeight="14.25" x14ac:dyDescent="0.3"/>
  <cols>
    <col min="1" max="1" width="80.25" style="1" customWidth="1"/>
    <col min="2" max="2" width="16.25" style="1" customWidth="1"/>
    <col min="3" max="16384" width="9" style="1"/>
  </cols>
  <sheetData>
    <row r="1" spans="1:2" ht="15" x14ac:dyDescent="0.3">
      <c r="A1" s="6" t="s">
        <v>30</v>
      </c>
      <c r="B1" s="6" t="s">
        <v>49</v>
      </c>
    </row>
    <row r="2" spans="1:2" x14ac:dyDescent="0.3">
      <c r="A2" s="3" t="s">
        <v>32</v>
      </c>
      <c r="B2" s="4">
        <v>230000</v>
      </c>
    </row>
    <row r="3" spans="1:2" x14ac:dyDescent="0.3">
      <c r="A3" s="3" t="s">
        <v>33</v>
      </c>
      <c r="B3" s="4">
        <v>258500</v>
      </c>
    </row>
    <row r="4" spans="1:2" x14ac:dyDescent="0.3">
      <c r="A4" s="3" t="s">
        <v>50</v>
      </c>
      <c r="B4" s="4">
        <v>16961937.57</v>
      </c>
    </row>
    <row r="5" spans="1:2" x14ac:dyDescent="0.3">
      <c r="A5" s="3" t="s">
        <v>34</v>
      </c>
      <c r="B5" s="4">
        <v>5000000</v>
      </c>
    </row>
    <row r="6" spans="1:2" x14ac:dyDescent="0.3">
      <c r="A6" s="3" t="s">
        <v>35</v>
      </c>
      <c r="B6" s="4">
        <v>6000000.04</v>
      </c>
    </row>
    <row r="7" spans="1:2" x14ac:dyDescent="0.3">
      <c r="A7" s="3" t="s">
        <v>36</v>
      </c>
      <c r="B7" s="4">
        <v>5716971</v>
      </c>
    </row>
    <row r="8" spans="1:2" x14ac:dyDescent="0.3">
      <c r="A8" s="3" t="s">
        <v>37</v>
      </c>
      <c r="B8" s="4">
        <v>1467500</v>
      </c>
    </row>
    <row r="9" spans="1:2" x14ac:dyDescent="0.3">
      <c r="A9" s="3" t="s">
        <v>38</v>
      </c>
      <c r="B9" s="4">
        <v>2103593.75</v>
      </c>
    </row>
    <row r="10" spans="1:2" x14ac:dyDescent="0.3">
      <c r="A10" s="3" t="s">
        <v>39</v>
      </c>
      <c r="B10" s="4">
        <v>1256375</v>
      </c>
    </row>
    <row r="11" spans="1:2" x14ac:dyDescent="0.3">
      <c r="A11" s="3" t="s">
        <v>40</v>
      </c>
      <c r="B11" s="4">
        <v>8154410</v>
      </c>
    </row>
    <row r="12" spans="1:2" x14ac:dyDescent="0.3">
      <c r="A12" s="3" t="s">
        <v>41</v>
      </c>
      <c r="B12" s="4">
        <v>187925</v>
      </c>
    </row>
    <row r="13" spans="1:2" x14ac:dyDescent="0.3">
      <c r="A13" s="3" t="s">
        <v>42</v>
      </c>
      <c r="B13" s="4">
        <v>79737.5</v>
      </c>
    </row>
    <row r="14" spans="1:2" x14ac:dyDescent="0.3">
      <c r="A14" s="3" t="s">
        <v>43</v>
      </c>
      <c r="B14" s="4">
        <v>8821295.5600000005</v>
      </c>
    </row>
    <row r="15" spans="1:2" x14ac:dyDescent="0.3">
      <c r="A15" s="3" t="s">
        <v>44</v>
      </c>
      <c r="B15" s="4">
        <v>248645</v>
      </c>
    </row>
    <row r="16" spans="1:2" x14ac:dyDescent="0.3">
      <c r="A16" s="3" t="s">
        <v>45</v>
      </c>
      <c r="B16" s="4">
        <v>10519483.75</v>
      </c>
    </row>
    <row r="17" spans="1:2" x14ac:dyDescent="0.3">
      <c r="A17" s="3" t="s">
        <v>46</v>
      </c>
      <c r="B17" s="4">
        <v>3157986</v>
      </c>
    </row>
    <row r="18" spans="1:2" x14ac:dyDescent="0.3">
      <c r="A18" s="3" t="s">
        <v>47</v>
      </c>
      <c r="B18" s="4">
        <v>189032</v>
      </c>
    </row>
    <row r="19" spans="1:2" x14ac:dyDescent="0.3">
      <c r="A19" s="3" t="s">
        <v>48</v>
      </c>
      <c r="B19" s="4">
        <v>20652921</v>
      </c>
    </row>
    <row r="20" spans="1:2" ht="15" x14ac:dyDescent="0.3">
      <c r="A20" s="2" t="s">
        <v>31</v>
      </c>
      <c r="B20" s="5">
        <f>SUM(B2:B19)</f>
        <v>91006313.170000002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Template</vt:lpstr>
      <vt:lpstr>Protocol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Thinkfree</dc:creator>
  <cp:lastModifiedBy>박예슬</cp:lastModifiedBy>
  <dcterms:created xsi:type="dcterms:W3CDTF">2024-05-07T02:04:49Z</dcterms:created>
  <dcterms:modified xsi:type="dcterms:W3CDTF">2024-05-09T08:42:29Z</dcterms:modified>
</cp:coreProperties>
</file>